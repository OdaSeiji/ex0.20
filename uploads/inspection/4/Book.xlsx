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3"/>
  <workbookPr filterPrivacy="1"/>
  <xr:revisionPtr revIDLastSave="0" documentId="8_{1912BCBD-3FD1-4944-B93A-C1315B985757}" xr6:coauthVersionLast="47" xr6:coauthVersionMax="47" xr10:uidLastSave="{00000000-0000-0000-0000-000000000000}"/>
  <bookViews>
    <workbookView xWindow="-120" yWindow="-120" windowWidth="29040" windowHeight="17640" xr2:uid="{00000000-000D-0000-FFFF-FFFF00000000}"/>
  </bookViews>
  <sheets>
    <sheet name="概要" sheetId="1" r:id="rId1"/>
    <sheet name="ギフト リスト" sheetId="2" r:id="rId2"/>
  </sheets>
  <definedNames>
    <definedName name="Adjust_Budget">概要!$D$4</definedName>
    <definedName name="Allocated_Money_Remaining">IF(贈り先[[#Totals],[予定予算に対する割合]]=1,TotalBudget*概要!XFD1,IF(贈り先[[#Totals],[予定予算に対する割合]]&gt;1,(TotalBudget/贈り先[[#Totals],[予定予算に対する割合]])*概要!XFD1,TotalBudget*概要!XFD1))</definedName>
    <definedName name="_xlnm.Print_Titles" localSheetId="1">'ギフト リスト'!$2:$2</definedName>
    <definedName name="_xlnm.Print_Titles" localSheetId="0">概要!$5:$5</definedName>
    <definedName name="RecipientNames">贈り先[贈り先]</definedName>
    <definedName name="REMAINING">概要!$F$3</definedName>
    <definedName name="RowTitleRegion1..F4">概要!$E$1</definedName>
    <definedName name="Title1">贈り先[[#Headers],[贈り先]]</definedName>
    <definedName name="Title2">ギフト[[#Headers],[贈り先]]</definedName>
    <definedName name="TotalBudget">概要!$F$1</definedName>
  </definedNames>
  <calcPr calcId="191028" calcCompleted="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7" i="1" l="1"/>
  <c r="F8" i="1"/>
  <c r="F9" i="1"/>
  <c r="F10" i="1"/>
  <c r="F6" i="1"/>
  <c r="F2" i="1" l="1"/>
  <c r="F3" i="1" s="1"/>
  <c r="E11" i="1" l="1"/>
  <c r="C11" i="1"/>
  <c r="D10" i="1" l="1"/>
  <c r="D6" i="1"/>
  <c r="D9" i="1"/>
  <c r="D8" i="1"/>
  <c r="D7" i="1"/>
  <c r="F11" i="1"/>
  <c r="D11" i="1" l="1"/>
</calcChain>
</file>

<file path=xl/sharedStrings.xml><?xml version="1.0" encoding="utf-8"?>
<sst xmlns="http://schemas.openxmlformats.org/spreadsheetml/2006/main" count="47" uniqueCount="30">
  <si>
    <t>休日</t>
  </si>
  <si>
    <t>ギフト トラッカー</t>
  </si>
  <si>
    <t>予算合計</t>
  </si>
  <si>
    <t>支払済</t>
  </si>
  <si>
    <t>予算残額</t>
  </si>
  <si>
    <t>予定予算に対する割合が 100% を超えたら予算を調整しますか (はい/いいえ)?</t>
  </si>
  <si>
    <t>はい</t>
  </si>
  <si>
    <t>贈り先</t>
  </si>
  <si>
    <t>予定予算に対する割合</t>
  </si>
  <si>
    <t>残り予算額</t>
  </si>
  <si>
    <t>予定ギフト個数</t>
  </si>
  <si>
    <t>残りギフト数</t>
  </si>
  <si>
    <t>Adam</t>
  </si>
  <si>
    <t>Jenny</t>
  </si>
  <si>
    <t>Brian</t>
  </si>
  <si>
    <t>Suzanne</t>
  </si>
  <si>
    <t>Marty</t>
  </si>
  <si>
    <t>集計</t>
    <phoneticPr fontId="18"/>
  </si>
  <si>
    <t>ギフト リスト</t>
  </si>
  <si>
    <t>ギフト</t>
  </si>
  <si>
    <t>コスト</t>
  </si>
  <si>
    <t>購入済み</t>
  </si>
  <si>
    <t>ラッピング済み</t>
  </si>
  <si>
    <t>ドール ハウス</t>
  </si>
  <si>
    <t>自転車</t>
  </si>
  <si>
    <t>スクラップブック資料</t>
  </si>
  <si>
    <t>おもちゃの電車</t>
  </si>
  <si>
    <t>セーター</t>
  </si>
  <si>
    <t>ギフト カード</t>
  </si>
  <si>
    <t>ドレス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</si>
</sst>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7" formatCode="&quot;¥&quot;#,##0.00;&quot;¥&quot;\-#,##0.00"/>
    <numFmt numFmtId="42" formatCode="_ &quot;¥&quot;* #,##0_ ;_ &quot;¥&quot;* \-#,##0_ ;_ &quot;¥&quot;* &quot;-&quot;_ ;_ @_ "/>
    <numFmt numFmtId="176" formatCode="_(* #,##0_);_(* \(#,##0\);_(* &quot;-&quot;_);_(@_)"/>
    <numFmt numFmtId="177" formatCode="0_ "/>
  </numFmts>
  <fonts count="19">
    <font>
      <sz val="11"/>
      <color theme="3"/>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sz val="11"/>
      <color theme="3"/>
      <name val="Meiryo UI"/>
      <family val="2"/>
    </font>
    <font>
      <i/>
      <sz val="11"/>
      <color rgb="FF7F7F7F"/>
      <name val="Meiryo UI"/>
      <family val="2"/>
    </font>
    <font>
      <sz val="11"/>
      <color rgb="FF006100"/>
      <name val="Meiryo UI"/>
      <family val="2"/>
    </font>
    <font>
      <sz val="30"/>
      <color theme="5" tint="-0.24994659260841701"/>
      <name val="Meiryo UI"/>
      <family val="2"/>
    </font>
    <font>
      <b/>
      <sz val="11"/>
      <color theme="5" tint="-0.499984740745262"/>
      <name val="Meiryo UI"/>
      <family val="2"/>
    </font>
    <font>
      <b/>
      <sz val="11"/>
      <color theme="3"/>
      <name val="Meiryo UI"/>
      <family val="2"/>
    </font>
    <font>
      <sz val="11"/>
      <color rgb="FFFA7D00"/>
      <name val="Meiryo UI"/>
      <family val="2"/>
    </font>
    <font>
      <sz val="11"/>
      <color rgb="FF9C5700"/>
      <name val="Meiryo UI"/>
      <family val="2"/>
    </font>
    <font>
      <b/>
      <i/>
      <sz val="37"/>
      <color theme="4" tint="-0.499984740745262"/>
      <name val="Meiryo UI"/>
      <family val="2"/>
    </font>
    <font>
      <b/>
      <sz val="11"/>
      <color theme="1"/>
      <name val="Meiryo UI"/>
      <family val="2"/>
    </font>
    <font>
      <sz val="11"/>
      <color rgb="FFFF0000"/>
      <name val="Meiryo UI"/>
      <family val="2"/>
    </font>
    <font>
      <sz val="9"/>
      <color theme="3"/>
      <name val="Meiryo UI"/>
      <family val="2"/>
    </font>
    <font>
      <sz val="6"/>
      <name val="ＭＳ Ｐゴシック"/>
      <family val="3"/>
      <charset val="128"/>
    </font>
  </fonts>
  <fills count="3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alignment horizontal="left" vertical="center" wrapText="1" indent="1"/>
    </xf>
    <xf numFmtId="0" fontId="6" fillId="0" borderId="0" applyNumberFormat="0" applyFont="0" applyFill="0" applyBorder="0" applyProtection="0">
      <alignment horizontal="center" vertical="center"/>
    </xf>
    <xf numFmtId="177" fontId="6" fillId="0" borderId="0" applyFont="0" applyFill="0" applyBorder="0" applyProtection="0">
      <alignment horizontal="center" vertical="center"/>
    </xf>
    <xf numFmtId="176" fontId="6" fillId="0" borderId="0" applyFont="0" applyFill="0" applyBorder="0" applyAlignment="0" applyProtection="0"/>
    <xf numFmtId="7" fontId="6" fillId="0" borderId="0" applyFont="0" applyFill="0" applyBorder="0" applyProtection="0">
      <alignment horizontal="right" vertical="center" indent="1"/>
    </xf>
    <xf numFmtId="42" fontId="6" fillId="0" borderId="0" applyFont="0" applyFill="0" applyBorder="0" applyAlignment="0" applyProtection="0"/>
    <xf numFmtId="9" fontId="6" fillId="0" borderId="0" applyFont="0" applyFill="0" applyBorder="0" applyProtection="0">
      <alignment horizontal="center" vertical="center"/>
    </xf>
    <xf numFmtId="0" fontId="14" fillId="0" borderId="0">
      <alignment vertical="center"/>
    </xf>
    <xf numFmtId="0" fontId="9" fillId="0" borderId="0">
      <alignment vertical="center"/>
    </xf>
    <xf numFmtId="0" fontId="10" fillId="0" borderId="0">
      <alignment horizontal="right" indent="1"/>
    </xf>
    <xf numFmtId="0" fontId="6" fillId="0" borderId="0" applyNumberFormat="0" applyFill="0" applyBorder="0" applyAlignment="0" applyProtection="0"/>
    <xf numFmtId="7" fontId="11" fillId="0" borderId="2">
      <alignment horizontal="left" indent="1"/>
    </xf>
    <xf numFmtId="7" fontId="11" fillId="0" borderId="1">
      <alignment horizontal="left" vertical="center" indent="1"/>
    </xf>
    <xf numFmtId="7" fontId="17" fillId="0" borderId="0" applyFont="0" applyFill="0" applyBorder="0" applyProtection="0">
      <alignment horizontal="right" vertical="center" indent="1"/>
    </xf>
    <xf numFmtId="0" fontId="10" fillId="0" borderId="0" applyNumberFormat="0" applyFill="0" applyBorder="0">
      <alignment horizontal="center" vertical="center" wrapText="1"/>
    </xf>
    <xf numFmtId="0" fontId="11" fillId="0" borderId="0" applyNumberFormat="0" applyFill="0" applyBorder="0" applyAlignment="0" applyProtection="0"/>
    <xf numFmtId="0" fontId="8" fillId="2" borderId="0" applyNumberFormat="0" applyBorder="0" applyAlignment="0" applyProtection="0"/>
    <xf numFmtId="0" fontId="3" fillId="3" borderId="0" applyNumberFormat="0" applyBorder="0" applyAlignment="0" applyProtection="0"/>
    <xf numFmtId="0" fontId="13" fillId="4" borderId="0" applyNumberFormat="0" applyBorder="0" applyAlignment="0" applyProtection="0"/>
    <xf numFmtId="0" fontId="4" fillId="5" borderId="3" applyNumberFormat="0" applyAlignment="0" applyProtection="0"/>
    <xf numFmtId="0" fontId="12" fillId="0" borderId="4" applyNumberFormat="0" applyFill="0" applyAlignment="0" applyProtection="0"/>
    <xf numFmtId="0" fontId="5" fillId="6" borderId="5" applyNumberFormat="0" applyAlignment="0" applyProtection="0"/>
    <xf numFmtId="0" fontId="16" fillId="0" borderId="0" applyNumberFormat="0" applyFill="0" applyBorder="0" applyAlignment="0" applyProtection="0"/>
    <xf numFmtId="0" fontId="6" fillId="7" borderId="6" applyNumberFormat="0" applyFont="0" applyAlignment="0" applyProtection="0"/>
    <xf numFmtId="0" fontId="7" fillId="0" borderId="0" applyNumberFormat="0" applyFill="0" applyBorder="0" applyAlignment="0" applyProtection="0"/>
    <xf numFmtId="0" fontId="15" fillId="0" borderId="7" applyNumberFormat="0" applyFill="0" applyAlignment="0" applyProtection="0"/>
    <xf numFmtId="0" fontId="2"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cellStyleXfs>
  <cellXfs count="20">
    <xf numFmtId="0" fontId="0" fillId="0" borderId="0" xfId="0">
      <alignment horizontal="left" vertical="center" wrapText="1" indent="1"/>
    </xf>
    <xf numFmtId="9" fontId="0" fillId="0" borderId="0" xfId="6" applyFont="1" applyBorder="1">
      <alignment horizontal="center" vertical="center"/>
    </xf>
    <xf numFmtId="0" fontId="0" fillId="0" borderId="0" xfId="1" applyFont="1">
      <alignment horizontal="center" vertical="center"/>
    </xf>
    <xf numFmtId="0" fontId="0" fillId="0" borderId="0" xfId="0" applyAlignment="1">
      <alignment vertical="top"/>
    </xf>
    <xf numFmtId="0" fontId="10" fillId="0" borderId="0" xfId="9">
      <alignment horizontal="right" indent="1"/>
    </xf>
    <xf numFmtId="7" fontId="11" fillId="0" borderId="2" xfId="11">
      <alignment horizontal="left" indent="1"/>
    </xf>
    <xf numFmtId="0" fontId="6" fillId="0" borderId="0" xfId="10" applyAlignment="1">
      <alignment horizontal="left" vertical="center" indent="1"/>
    </xf>
    <xf numFmtId="7" fontId="0" fillId="0" borderId="0" xfId="4" applyFont="1">
      <alignment horizontal="right" vertical="center" indent="1"/>
    </xf>
    <xf numFmtId="177" fontId="0" fillId="0" borderId="0" xfId="2" applyFont="1">
      <alignment horizontal="center" vertical="center"/>
    </xf>
    <xf numFmtId="7" fontId="0" fillId="0" borderId="0" xfId="13" applyFont="1">
      <alignment horizontal="right" vertical="center" indent="1"/>
    </xf>
    <xf numFmtId="0" fontId="6" fillId="0" borderId="0" xfId="10" applyAlignment="1">
      <alignment horizontal="left" vertical="center" wrapText="1" indent="1"/>
    </xf>
    <xf numFmtId="0" fontId="10" fillId="0" borderId="0" xfId="14">
      <alignment horizontal="center" vertical="center" wrapText="1"/>
    </xf>
    <xf numFmtId="0" fontId="17" fillId="0" borderId="0" xfId="0" applyFont="1" applyAlignment="1">
      <alignment horizontal="left" vertical="center" indent="1"/>
    </xf>
    <xf numFmtId="9" fontId="17" fillId="0" borderId="0" xfId="0" applyNumberFormat="1" applyFont="1" applyAlignment="1">
      <alignment horizontal="center" vertical="center"/>
    </xf>
    <xf numFmtId="7" fontId="17" fillId="0" borderId="0" xfId="0" applyNumberFormat="1" applyFont="1" applyAlignment="1">
      <alignment horizontal="right" vertical="center" indent="1"/>
    </xf>
    <xf numFmtId="0" fontId="17" fillId="0" borderId="0" xfId="0" applyFont="1" applyAlignment="1">
      <alignment horizontal="center" vertical="center"/>
    </xf>
    <xf numFmtId="0" fontId="14" fillId="0" borderId="0" xfId="7">
      <alignment vertical="center"/>
    </xf>
    <xf numFmtId="0" fontId="9" fillId="0" borderId="0" xfId="8">
      <alignment vertical="center"/>
    </xf>
    <xf numFmtId="0" fontId="14" fillId="0" borderId="0" xfId="7" applyAlignment="1">
      <alignment vertical="center"/>
    </xf>
    <xf numFmtId="0" fontId="9" fillId="0" borderId="0" xfId="8" applyAlignment="1">
      <alignment vertical="center"/>
    </xf>
  </cellXfs>
  <cellStyles count="50">
    <cellStyle name="20% - アクセント 1" xfId="27" builtinId="30" customBuiltin="1"/>
    <cellStyle name="20% - アクセント 2" xfId="31" builtinId="34" customBuiltin="1"/>
    <cellStyle name="20% - アクセント 3" xfId="35" builtinId="38" customBuiltin="1"/>
    <cellStyle name="20% - アクセント 4" xfId="39" builtinId="42" customBuiltin="1"/>
    <cellStyle name="20% - アクセント 5" xfId="43" builtinId="46" customBuiltin="1"/>
    <cellStyle name="20% - アクセント 6" xfId="47" builtinId="50" customBuiltin="1"/>
    <cellStyle name="40% - アクセント 1" xfId="28" builtinId="31" customBuiltin="1"/>
    <cellStyle name="40% - アクセント 2" xfId="32" builtinId="35" customBuiltin="1"/>
    <cellStyle name="40% - アクセント 3" xfId="36" builtinId="39" customBuiltin="1"/>
    <cellStyle name="40% - アクセント 4" xfId="40" builtinId="43" customBuiltin="1"/>
    <cellStyle name="40% - アクセント 5" xfId="44" builtinId="47" customBuiltin="1"/>
    <cellStyle name="40% - アクセント 6" xfId="48" builtinId="51" customBuiltin="1"/>
    <cellStyle name="60% - アクセント 1" xfId="29" builtinId="32" customBuiltin="1"/>
    <cellStyle name="60% - アクセント 2" xfId="33" builtinId="36" customBuiltin="1"/>
    <cellStyle name="60% - アクセント 3" xfId="37" builtinId="40" customBuiltin="1"/>
    <cellStyle name="60% - アクセント 4" xfId="41" builtinId="44" customBuiltin="1"/>
    <cellStyle name="60% - アクセント 5" xfId="45" builtinId="48" customBuiltin="1"/>
    <cellStyle name="60% - アクセント 6" xfId="49" builtinId="52" customBuiltin="1"/>
    <cellStyle name="アクセント 1" xfId="26" builtinId="29" customBuiltin="1"/>
    <cellStyle name="アクセント 2" xfId="30" builtinId="33" customBuiltin="1"/>
    <cellStyle name="アクセント 3" xfId="34" builtinId="37" customBuiltin="1"/>
    <cellStyle name="アクセント 4" xfId="38" builtinId="41" customBuiltin="1"/>
    <cellStyle name="アクセント 5" xfId="42" builtinId="45" customBuiltin="1"/>
    <cellStyle name="アクセント 6" xfId="46" builtinId="49" customBuiltin="1"/>
    <cellStyle name="タイトル" xfId="7" builtinId="15" customBuiltin="1"/>
    <cellStyle name="チェック セル" xfId="21" builtinId="23" customBuiltin="1"/>
    <cellStyle name="テーブル見出し" xfId="14" xr:uid="{00000000-0005-0000-0000-00000D000000}"/>
    <cellStyle name="どちらでもない" xfId="18" builtinId="28" customBuiltin="1"/>
    <cellStyle name="パーセント" xfId="6" builtinId="5" customBuiltin="1"/>
    <cellStyle name="メモ" xfId="23" builtinId="10" customBuiltin="1"/>
    <cellStyle name="リンク セル" xfId="20" builtinId="24" customBuiltin="1"/>
    <cellStyle name="悪い" xfId="17" builtinId="27" customBuiltin="1"/>
    <cellStyle name="計算" xfId="19" builtinId="22" customBuiltin="1"/>
    <cellStyle name="警告文" xfId="22" builtinId="11" customBuiltin="1"/>
    <cellStyle name="桁区切り" xfId="3" builtinId="6" customBuiltin="1"/>
    <cellStyle name="桁区切り [0.00]" xfId="2" builtinId="3" customBuiltin="1"/>
    <cellStyle name="見出し 1" xfId="8" builtinId="16" customBuiltin="1"/>
    <cellStyle name="見出し 2" xfId="9" builtinId="17" customBuiltin="1"/>
    <cellStyle name="見出し 3" xfId="10" builtinId="18" customBuiltin="1"/>
    <cellStyle name="見出し 4" xfId="15" builtinId="19" customBuiltin="1"/>
    <cellStyle name="購入済み/ラッピング済み" xfId="1" xr:uid="{00000000-0005-0000-0000-00000C000000}"/>
    <cellStyle name="集計" xfId="25" builtinId="25" customBuiltin="1"/>
    <cellStyle name="出力" xfId="12" builtinId="21" customBuiltin="1"/>
    <cellStyle name="説明文" xfId="24" builtinId="53" customBuiltin="1"/>
    <cellStyle name="通貨" xfId="5" builtinId="7" customBuiltin="1"/>
    <cellStyle name="通貨 [0.00]" xfId="4" builtinId="4" customBuiltin="1"/>
    <cellStyle name="通貨カスタム" xfId="13" xr:uid="{00000000-0005-0000-0000-000004000000}"/>
    <cellStyle name="入力" xfId="11" builtinId="20" customBuiltin="1"/>
    <cellStyle name="標準" xfId="0" builtinId="0" customBuiltin="1"/>
    <cellStyle name="良い" xfId="16" builtinId="26" customBuiltin="1"/>
  </cellStyles>
  <dxfs count="18">
    <dxf>
      <font>
        <b val="0"/>
        <i val="0"/>
        <strike val="0"/>
        <condense val="0"/>
        <extend val="0"/>
        <outline val="0"/>
        <shadow val="0"/>
        <u val="none"/>
        <vertAlign val="baseline"/>
        <sz val="11"/>
        <color theme="3"/>
        <name val="Georgia"/>
        <scheme val="minor"/>
      </font>
    </dxf>
    <dxf>
      <font>
        <strike/>
        <color theme="3" tint="0.59996337778862885"/>
      </font>
    </dxf>
    <dxf>
      <font>
        <b val="0"/>
        <i val="0"/>
        <strike val="0"/>
        <condense val="0"/>
        <extend val="0"/>
        <outline val="0"/>
        <shadow val="0"/>
        <u val="none"/>
        <vertAlign val="baseline"/>
        <sz val="9"/>
        <color theme="3"/>
        <name val="Meiryo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3"/>
        <name val="Meiryo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3"/>
        <name val="Georgia"/>
        <scheme val="minor"/>
      </font>
    </dxf>
    <dxf>
      <font>
        <b val="0"/>
        <i val="0"/>
        <strike val="0"/>
        <condense val="0"/>
        <extend val="0"/>
        <outline val="0"/>
        <shadow val="0"/>
        <u val="none"/>
        <vertAlign val="baseline"/>
        <sz val="9"/>
        <color theme="3"/>
        <name val="Meiryo UI"/>
        <family val="2"/>
        <scheme val="none"/>
      </font>
      <numFmt numFmtId="11" formatCode="&quot;¥&quot;#,##0.00;&quot;¥&quot;\-#,##0.00"/>
      <alignment horizontal="right" vertical="center" textRotation="0" wrapText="0" indent="1" justifyLastLine="0" shrinkToFit="0" readingOrder="0"/>
    </dxf>
    <dxf>
      <font>
        <b val="0"/>
        <i val="0"/>
        <strike val="0"/>
        <condense val="0"/>
        <extend val="0"/>
        <outline val="0"/>
        <shadow val="0"/>
        <u val="none"/>
        <vertAlign val="baseline"/>
        <sz val="9"/>
        <color theme="3"/>
        <name val="Meiryo UI"/>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9"/>
        <color theme="3"/>
        <name val="Meiryo UI"/>
        <family val="2"/>
        <scheme val="none"/>
      </font>
      <alignment horizontal="left" vertical="center" textRotation="0" wrapText="0" indent="1" justifyLastLine="0" shrinkToFit="0" readingOrder="0"/>
    </dxf>
    <dxf>
      <font>
        <color theme="8" tint="-0.499984740745262"/>
      </font>
    </dxf>
    <dxf>
      <font>
        <color theme="8" tint="-0.499984740745262"/>
      </font>
    </dxf>
    <dxf>
      <fill>
        <patternFill>
          <bgColor theme="0" tint="-4.9989318521683403E-2"/>
        </patternFill>
      </fill>
    </dxf>
    <dxf>
      <fill>
        <patternFill>
          <bgColor theme="0"/>
        </patternFill>
      </fill>
    </dxf>
    <dxf>
      <font>
        <b/>
        <i val="0"/>
      </font>
      <fill>
        <patternFill>
          <bgColor theme="4" tint="0.79998168889431442"/>
        </patternFill>
      </fill>
    </dxf>
    <dxf>
      <font>
        <b/>
        <i val="0"/>
        <color theme="5" tint="-0.499984740745262"/>
      </font>
      <border>
        <top style="thick">
          <color theme="4"/>
        </top>
        <bottom style="double">
          <color theme="4"/>
        </bottom>
      </border>
    </dxf>
    <dxf>
      <border>
        <left style="thin">
          <color theme="4"/>
        </left>
        <right style="thin">
          <color theme="4"/>
        </right>
        <bottom style="thick">
          <color theme="4"/>
        </bottom>
        <vertical style="mediumDashDotDot">
          <color theme="4"/>
        </vertical>
        <horizontal style="thin">
          <color theme="4"/>
        </horizontal>
      </border>
    </dxf>
    <dxf>
      <font>
        <b/>
        <i val="0"/>
      </font>
      <fill>
        <patternFill>
          <bgColor theme="4" tint="0.79998168889431442"/>
        </patternFill>
      </fill>
    </dxf>
    <dxf>
      <font>
        <b/>
        <i val="0"/>
        <color theme="5" tint="-0.499984740745262"/>
      </font>
      <border>
        <top style="thick">
          <color theme="4"/>
        </top>
        <bottom style="double">
          <color theme="4"/>
        </bottom>
      </border>
    </dxf>
    <dxf>
      <border>
        <left style="thin">
          <color theme="4"/>
        </left>
        <right style="thin">
          <color theme="4"/>
        </right>
        <bottom style="thick">
          <color theme="4"/>
        </bottom>
        <vertical style="mediumDashDotDot">
          <color theme="4"/>
        </vertical>
        <horizontal style="thin">
          <color theme="4"/>
        </horizontal>
      </border>
    </dxf>
  </dxfs>
  <tableStyles count="2" defaultPivotStyle="PivotStyleLight16">
    <tableStyle name="休日ギフト リスト" pivot="0" count="3" xr9:uid="{00000000-0011-0000-FFFF-FFFF00000000}">
      <tableStyleElement type="wholeTable" dxfId="17"/>
      <tableStyleElement type="headerRow" dxfId="16"/>
      <tableStyleElement type="totalRow" dxfId="15"/>
    </tableStyle>
    <tableStyle name="概要" pivot="0" count="5" xr9:uid="{00000000-0011-0000-FFFF-FFFF01000000}">
      <tableStyleElement type="wholeTable" dxfId="14"/>
      <tableStyleElement type="headerRow" dxfId="13"/>
      <tableStyleElement type="totalRow" dxfId="12"/>
      <tableStyleElement type="firstColumn"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19049</xdr:colOff>
      <xdr:row>0</xdr:row>
      <xdr:rowOff>104774</xdr:rowOff>
    </xdr:to>
    <xdr:grpSp>
      <xdr:nvGrpSpPr>
        <xdr:cNvPr id="4" name="ページ罫線" descr="ストライプの複数色の罫線 ">
          <a:extLst>
            <a:ext uri="{FF2B5EF4-FFF2-40B4-BE49-F238E27FC236}">
              <a16:creationId xmlns:a16="http://schemas.microsoft.com/office/drawing/2014/main" id="{00000000-0008-0000-0000-000004000000}"/>
            </a:ext>
          </a:extLst>
        </xdr:cNvPr>
        <xdr:cNvGrpSpPr/>
      </xdr:nvGrpSpPr>
      <xdr:grpSpPr>
        <a:xfrm>
          <a:off x="0" y="0"/>
          <a:ext cx="9934574" cy="104774"/>
          <a:chOff x="190500" y="6334125"/>
          <a:chExt cx="8639175" cy="114300"/>
        </a:xfrm>
      </xdr:grpSpPr>
      <xdr:sp macro="" textlink="">
        <xdr:nvSpPr>
          <xdr:cNvPr id="1034" name="フリーフォーム 10">
            <a:extLst>
              <a:ext uri="{FF2B5EF4-FFF2-40B4-BE49-F238E27FC236}">
                <a16:creationId xmlns:a16="http://schemas.microsoft.com/office/drawing/2014/main" id="{00000000-0008-0000-0000-00000A040000}"/>
              </a:ext>
            </a:extLst>
          </xdr:cNvPr>
          <xdr:cNvSpPr>
            <a:spLocks noEditPoints="1"/>
          </xdr:cNvSpPr>
        </xdr:nvSpPr>
        <xdr:spPr bwMode="auto">
          <a:xfrm>
            <a:off x="619125" y="6334125"/>
            <a:ext cx="8210550" cy="114300"/>
          </a:xfrm>
          <a:custGeom>
            <a:avLst/>
            <a:gdLst>
              <a:gd name="T0" fmla="*/ 3366 w 3447"/>
              <a:gd name="T1" fmla="*/ 0 h 49"/>
              <a:gd name="T2" fmla="*/ 3447 w 3447"/>
              <a:gd name="T3" fmla="*/ 0 h 49"/>
              <a:gd name="T4" fmla="*/ 3447 w 3447"/>
              <a:gd name="T5" fmla="*/ 49 h 49"/>
              <a:gd name="T6" fmla="*/ 3322 w 3447"/>
              <a:gd name="T7" fmla="*/ 49 h 49"/>
              <a:gd name="T8" fmla="*/ 3366 w 3447"/>
              <a:gd name="T9" fmla="*/ 0 h 49"/>
              <a:gd name="T10" fmla="*/ 2892 w 3447"/>
              <a:gd name="T11" fmla="*/ 0 h 49"/>
              <a:gd name="T12" fmla="*/ 3061 w 3447"/>
              <a:gd name="T13" fmla="*/ 0 h 49"/>
              <a:gd name="T14" fmla="*/ 3019 w 3447"/>
              <a:gd name="T15" fmla="*/ 49 h 49"/>
              <a:gd name="T16" fmla="*/ 2848 w 3447"/>
              <a:gd name="T17" fmla="*/ 49 h 49"/>
              <a:gd name="T18" fmla="*/ 2892 w 3447"/>
              <a:gd name="T19" fmla="*/ 0 h 49"/>
              <a:gd name="T20" fmla="*/ 2417 w 3447"/>
              <a:gd name="T21" fmla="*/ 0 h 49"/>
              <a:gd name="T22" fmla="*/ 2587 w 3447"/>
              <a:gd name="T23" fmla="*/ 0 h 49"/>
              <a:gd name="T24" fmla="*/ 2543 w 3447"/>
              <a:gd name="T25" fmla="*/ 49 h 49"/>
              <a:gd name="T26" fmla="*/ 2374 w 3447"/>
              <a:gd name="T27" fmla="*/ 49 h 49"/>
              <a:gd name="T28" fmla="*/ 2417 w 3447"/>
              <a:gd name="T29" fmla="*/ 0 h 49"/>
              <a:gd name="T30" fmla="*/ 1942 w 3447"/>
              <a:gd name="T31" fmla="*/ 0 h 49"/>
              <a:gd name="T32" fmla="*/ 2113 w 3447"/>
              <a:gd name="T33" fmla="*/ 0 h 49"/>
              <a:gd name="T34" fmla="*/ 2069 w 3447"/>
              <a:gd name="T35" fmla="*/ 49 h 49"/>
              <a:gd name="T36" fmla="*/ 1898 w 3447"/>
              <a:gd name="T37" fmla="*/ 49 h 49"/>
              <a:gd name="T38" fmla="*/ 1942 w 3447"/>
              <a:gd name="T39" fmla="*/ 0 h 49"/>
              <a:gd name="T40" fmla="*/ 1468 w 3447"/>
              <a:gd name="T41" fmla="*/ 0 h 49"/>
              <a:gd name="T42" fmla="*/ 1637 w 3447"/>
              <a:gd name="T43" fmla="*/ 0 h 49"/>
              <a:gd name="T44" fmla="*/ 1594 w 3447"/>
              <a:gd name="T45" fmla="*/ 49 h 49"/>
              <a:gd name="T46" fmla="*/ 1424 w 3447"/>
              <a:gd name="T47" fmla="*/ 49 h 49"/>
              <a:gd name="T48" fmla="*/ 1468 w 3447"/>
              <a:gd name="T49" fmla="*/ 0 h 49"/>
              <a:gd name="T50" fmla="*/ 992 w 3447"/>
              <a:gd name="T51" fmla="*/ 0 h 49"/>
              <a:gd name="T52" fmla="*/ 1163 w 3447"/>
              <a:gd name="T53" fmla="*/ 0 h 49"/>
              <a:gd name="T54" fmla="*/ 1119 w 3447"/>
              <a:gd name="T55" fmla="*/ 49 h 49"/>
              <a:gd name="T56" fmla="*/ 949 w 3447"/>
              <a:gd name="T57" fmla="*/ 49 h 49"/>
              <a:gd name="T58" fmla="*/ 992 w 3447"/>
              <a:gd name="T59" fmla="*/ 0 h 49"/>
              <a:gd name="T60" fmla="*/ 518 w 3447"/>
              <a:gd name="T61" fmla="*/ 0 h 49"/>
              <a:gd name="T62" fmla="*/ 689 w 3447"/>
              <a:gd name="T63" fmla="*/ 0 h 49"/>
              <a:gd name="T64" fmla="*/ 645 w 3447"/>
              <a:gd name="T65" fmla="*/ 49 h 49"/>
              <a:gd name="T66" fmla="*/ 474 w 3447"/>
              <a:gd name="T67" fmla="*/ 49 h 49"/>
              <a:gd name="T68" fmla="*/ 518 w 3447"/>
              <a:gd name="T69" fmla="*/ 0 h 49"/>
              <a:gd name="T70" fmla="*/ 44 w 3447"/>
              <a:gd name="T71" fmla="*/ 0 h 49"/>
              <a:gd name="T72" fmla="*/ 213 w 3447"/>
              <a:gd name="T73" fmla="*/ 0 h 49"/>
              <a:gd name="T74" fmla="*/ 170 w 3447"/>
              <a:gd name="T75" fmla="*/ 49 h 49"/>
              <a:gd name="T76" fmla="*/ 0 w 3447"/>
              <a:gd name="T77" fmla="*/ 49 h 49"/>
              <a:gd name="T78" fmla="*/ 44 w 3447"/>
              <a:gd name="T79"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chemeClr val="accent2"/>
          </a:solidFill>
          <a:ln w="0">
            <a:noFill/>
            <a:prstDash val="solid"/>
            <a:round/>
            <a:headEnd/>
            <a:tailEnd/>
          </a:ln>
        </xdr:spPr>
      </xdr:sp>
      <xdr:sp macro="" textlink="">
        <xdr:nvSpPr>
          <xdr:cNvPr id="1035" name="フリーフォーム 11">
            <a:extLst>
              <a:ext uri="{FF2B5EF4-FFF2-40B4-BE49-F238E27FC236}">
                <a16:creationId xmlns:a16="http://schemas.microsoft.com/office/drawing/2014/main" id="{00000000-0008-0000-0000-00000B040000}"/>
              </a:ext>
            </a:extLst>
          </xdr:cNvPr>
          <xdr:cNvSpPr>
            <a:spLocks noEditPoints="1"/>
          </xdr:cNvSpPr>
        </xdr:nvSpPr>
        <xdr:spPr bwMode="auto">
          <a:xfrm>
            <a:off x="190500" y="6334125"/>
            <a:ext cx="8286750" cy="114300"/>
          </a:xfrm>
          <a:custGeom>
            <a:avLst/>
            <a:gdLst>
              <a:gd name="T0" fmla="*/ 3311 w 3481"/>
              <a:gd name="T1" fmla="*/ 0 h 49"/>
              <a:gd name="T2" fmla="*/ 3481 w 3481"/>
              <a:gd name="T3" fmla="*/ 0 h 49"/>
              <a:gd name="T4" fmla="*/ 3437 w 3481"/>
              <a:gd name="T5" fmla="*/ 49 h 49"/>
              <a:gd name="T6" fmla="*/ 3268 w 3481"/>
              <a:gd name="T7" fmla="*/ 49 h 49"/>
              <a:gd name="T8" fmla="*/ 3311 w 3481"/>
              <a:gd name="T9" fmla="*/ 0 h 49"/>
              <a:gd name="T10" fmla="*/ 2836 w 3481"/>
              <a:gd name="T11" fmla="*/ 0 h 49"/>
              <a:gd name="T12" fmla="*/ 3006 w 3481"/>
              <a:gd name="T13" fmla="*/ 0 h 49"/>
              <a:gd name="T14" fmla="*/ 2963 w 3481"/>
              <a:gd name="T15" fmla="*/ 49 h 49"/>
              <a:gd name="T16" fmla="*/ 2792 w 3481"/>
              <a:gd name="T17" fmla="*/ 49 h 49"/>
              <a:gd name="T18" fmla="*/ 2836 w 3481"/>
              <a:gd name="T19" fmla="*/ 0 h 49"/>
              <a:gd name="T20" fmla="*/ 2362 w 3481"/>
              <a:gd name="T21" fmla="*/ 0 h 49"/>
              <a:gd name="T22" fmla="*/ 2531 w 3481"/>
              <a:gd name="T23" fmla="*/ 0 h 49"/>
              <a:gd name="T24" fmla="*/ 2488 w 3481"/>
              <a:gd name="T25" fmla="*/ 49 h 49"/>
              <a:gd name="T26" fmla="*/ 2318 w 3481"/>
              <a:gd name="T27" fmla="*/ 49 h 49"/>
              <a:gd name="T28" fmla="*/ 2362 w 3481"/>
              <a:gd name="T29" fmla="*/ 0 h 49"/>
              <a:gd name="T30" fmla="*/ 1886 w 3481"/>
              <a:gd name="T31" fmla="*/ 0 h 49"/>
              <a:gd name="T32" fmla="*/ 2057 w 3481"/>
              <a:gd name="T33" fmla="*/ 0 h 49"/>
              <a:gd name="T34" fmla="*/ 2013 w 3481"/>
              <a:gd name="T35" fmla="*/ 49 h 49"/>
              <a:gd name="T36" fmla="*/ 1844 w 3481"/>
              <a:gd name="T37" fmla="*/ 49 h 49"/>
              <a:gd name="T38" fmla="*/ 1886 w 3481"/>
              <a:gd name="T39" fmla="*/ 0 h 49"/>
              <a:gd name="T40" fmla="*/ 1412 w 3481"/>
              <a:gd name="T41" fmla="*/ 0 h 49"/>
              <a:gd name="T42" fmla="*/ 1583 w 3481"/>
              <a:gd name="T43" fmla="*/ 0 h 49"/>
              <a:gd name="T44" fmla="*/ 1539 w 3481"/>
              <a:gd name="T45" fmla="*/ 49 h 49"/>
              <a:gd name="T46" fmla="*/ 1368 w 3481"/>
              <a:gd name="T47" fmla="*/ 49 h 49"/>
              <a:gd name="T48" fmla="*/ 1412 w 3481"/>
              <a:gd name="T49" fmla="*/ 0 h 49"/>
              <a:gd name="T50" fmla="*/ 938 w 3481"/>
              <a:gd name="T51" fmla="*/ 0 h 49"/>
              <a:gd name="T52" fmla="*/ 1107 w 3481"/>
              <a:gd name="T53" fmla="*/ 0 h 49"/>
              <a:gd name="T54" fmla="*/ 1064 w 3481"/>
              <a:gd name="T55" fmla="*/ 49 h 49"/>
              <a:gd name="T56" fmla="*/ 894 w 3481"/>
              <a:gd name="T57" fmla="*/ 49 h 49"/>
              <a:gd name="T58" fmla="*/ 938 w 3481"/>
              <a:gd name="T59" fmla="*/ 0 h 49"/>
              <a:gd name="T60" fmla="*/ 462 w 3481"/>
              <a:gd name="T61" fmla="*/ 0 h 49"/>
              <a:gd name="T62" fmla="*/ 633 w 3481"/>
              <a:gd name="T63" fmla="*/ 0 h 49"/>
              <a:gd name="T64" fmla="*/ 589 w 3481"/>
              <a:gd name="T65" fmla="*/ 49 h 49"/>
              <a:gd name="T66" fmla="*/ 419 w 3481"/>
              <a:gd name="T67" fmla="*/ 49 h 49"/>
              <a:gd name="T68" fmla="*/ 462 w 3481"/>
              <a:gd name="T69" fmla="*/ 0 h 49"/>
              <a:gd name="T70" fmla="*/ 0 w 3481"/>
              <a:gd name="T71" fmla="*/ 0 h 49"/>
              <a:gd name="T72" fmla="*/ 158 w 3481"/>
              <a:gd name="T73" fmla="*/ 0 h 49"/>
              <a:gd name="T74" fmla="*/ 114 w 3481"/>
              <a:gd name="T75" fmla="*/ 49 h 49"/>
              <a:gd name="T76" fmla="*/ 0 w 3481"/>
              <a:gd name="T77" fmla="*/ 49 h 49"/>
              <a:gd name="T78" fmla="*/ 0 w 3481"/>
              <a:gd name="T79"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chemeClr val="accent1"/>
          </a:solidFill>
          <a:ln w="0">
            <a:noFill/>
            <a:prstDash val="solid"/>
            <a:round/>
            <a:headEnd/>
            <a:tailEnd/>
          </a:ln>
        </xdr:spPr>
      </xdr:sp>
      <xdr:sp macro="" textlink="">
        <xdr:nvSpPr>
          <xdr:cNvPr id="1036" name="フリーフォーム 12">
            <a:extLst>
              <a:ext uri="{FF2B5EF4-FFF2-40B4-BE49-F238E27FC236}">
                <a16:creationId xmlns:a16="http://schemas.microsoft.com/office/drawing/2014/main" id="{00000000-0008-0000-0000-00000C040000}"/>
              </a:ext>
            </a:extLst>
          </xdr:cNvPr>
          <xdr:cNvSpPr>
            <a:spLocks noEditPoints="1"/>
          </xdr:cNvSpPr>
        </xdr:nvSpPr>
        <xdr:spPr bwMode="auto">
          <a:xfrm>
            <a:off x="523875" y="6334125"/>
            <a:ext cx="8048625" cy="114300"/>
          </a:xfrm>
          <a:custGeom>
            <a:avLst/>
            <a:gdLst>
              <a:gd name="T0" fmla="*/ 3381 w 3381"/>
              <a:gd name="T1" fmla="*/ 0 h 49"/>
              <a:gd name="T2" fmla="*/ 3323 w 3381"/>
              <a:gd name="T3" fmla="*/ 49 h 49"/>
              <a:gd name="T4" fmla="*/ 3129 w 3381"/>
              <a:gd name="T5" fmla="*/ 0 h 49"/>
              <a:gd name="T6" fmla="*/ 3099 w 3381"/>
              <a:gd name="T7" fmla="*/ 49 h 49"/>
              <a:gd name="T8" fmla="*/ 3129 w 3381"/>
              <a:gd name="T9" fmla="*/ 0 h 49"/>
              <a:gd name="T10" fmla="*/ 2905 w 3381"/>
              <a:gd name="T11" fmla="*/ 0 h 49"/>
              <a:gd name="T12" fmla="*/ 2848 w 3381"/>
              <a:gd name="T13" fmla="*/ 49 h 49"/>
              <a:gd name="T14" fmla="*/ 2654 w 3381"/>
              <a:gd name="T15" fmla="*/ 0 h 49"/>
              <a:gd name="T16" fmla="*/ 2625 w 3381"/>
              <a:gd name="T17" fmla="*/ 49 h 49"/>
              <a:gd name="T18" fmla="*/ 2654 w 3381"/>
              <a:gd name="T19" fmla="*/ 0 h 49"/>
              <a:gd name="T20" fmla="*/ 2431 w 3381"/>
              <a:gd name="T21" fmla="*/ 0 h 49"/>
              <a:gd name="T22" fmla="*/ 2373 w 3381"/>
              <a:gd name="T23" fmla="*/ 49 h 49"/>
              <a:gd name="T24" fmla="*/ 2179 w 3381"/>
              <a:gd name="T25" fmla="*/ 0 h 49"/>
              <a:gd name="T26" fmla="*/ 2150 w 3381"/>
              <a:gd name="T27" fmla="*/ 49 h 49"/>
              <a:gd name="T28" fmla="*/ 2179 w 3381"/>
              <a:gd name="T29" fmla="*/ 0 h 49"/>
              <a:gd name="T30" fmla="*/ 1957 w 3381"/>
              <a:gd name="T31" fmla="*/ 0 h 49"/>
              <a:gd name="T32" fmla="*/ 1898 w 3381"/>
              <a:gd name="T33" fmla="*/ 49 h 49"/>
              <a:gd name="T34" fmla="*/ 1705 w 3381"/>
              <a:gd name="T35" fmla="*/ 0 h 49"/>
              <a:gd name="T36" fmla="*/ 1675 w 3381"/>
              <a:gd name="T37" fmla="*/ 49 h 49"/>
              <a:gd name="T38" fmla="*/ 1705 w 3381"/>
              <a:gd name="T39" fmla="*/ 0 h 49"/>
              <a:gd name="T40" fmla="*/ 1481 w 3381"/>
              <a:gd name="T41" fmla="*/ 0 h 49"/>
              <a:gd name="T42" fmla="*/ 1424 w 3381"/>
              <a:gd name="T43" fmla="*/ 49 h 49"/>
              <a:gd name="T44" fmla="*/ 1230 w 3381"/>
              <a:gd name="T45" fmla="*/ 0 h 49"/>
              <a:gd name="T46" fmla="*/ 1201 w 3381"/>
              <a:gd name="T47" fmla="*/ 49 h 49"/>
              <a:gd name="T48" fmla="*/ 1230 w 3381"/>
              <a:gd name="T49" fmla="*/ 0 h 49"/>
              <a:gd name="T50" fmla="*/ 1007 w 3381"/>
              <a:gd name="T51" fmla="*/ 0 h 49"/>
              <a:gd name="T52" fmla="*/ 950 w 3381"/>
              <a:gd name="T53" fmla="*/ 49 h 49"/>
              <a:gd name="T54" fmla="*/ 756 w 3381"/>
              <a:gd name="T55" fmla="*/ 0 h 49"/>
              <a:gd name="T56" fmla="*/ 726 w 3381"/>
              <a:gd name="T57" fmla="*/ 49 h 49"/>
              <a:gd name="T58" fmla="*/ 756 w 3381"/>
              <a:gd name="T59" fmla="*/ 0 h 49"/>
              <a:gd name="T60" fmla="*/ 532 w 3381"/>
              <a:gd name="T61" fmla="*/ 0 h 49"/>
              <a:gd name="T62" fmla="*/ 474 w 3381"/>
              <a:gd name="T63" fmla="*/ 49 h 49"/>
              <a:gd name="T64" fmla="*/ 280 w 3381"/>
              <a:gd name="T65" fmla="*/ 0 h 49"/>
              <a:gd name="T66" fmla="*/ 252 w 3381"/>
              <a:gd name="T67" fmla="*/ 49 h 49"/>
              <a:gd name="T68" fmla="*/ 280 w 3381"/>
              <a:gd name="T69" fmla="*/ 0 h 49"/>
              <a:gd name="T70" fmla="*/ 57 w 3381"/>
              <a:gd name="T71" fmla="*/ 0 h 49"/>
              <a:gd name="T72" fmla="*/ 0 w 3381"/>
              <a:gd name="T73" fmla="*/ 49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chemeClr val="accent3"/>
          </a:solidFill>
          <a:ln w="0">
            <a:noFill/>
            <a:prstDash val="solid"/>
            <a:round/>
            <a:headEnd/>
            <a:tailEnd/>
          </a:ln>
        </xdr:spPr>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915162</xdr:colOff>
      <xdr:row>0</xdr:row>
      <xdr:rowOff>114300</xdr:rowOff>
    </xdr:to>
    <xdr:grpSp>
      <xdr:nvGrpSpPr>
        <xdr:cNvPr id="2" name="ページ罫線" descr="ストライプの複数色の罫線">
          <a:extLst>
            <a:ext uri="{FF2B5EF4-FFF2-40B4-BE49-F238E27FC236}">
              <a16:creationId xmlns:a16="http://schemas.microsoft.com/office/drawing/2014/main" id="{BDDC79DC-0652-4904-8035-C5CE26684BAD}"/>
            </a:ext>
          </a:extLst>
        </xdr:cNvPr>
        <xdr:cNvGrpSpPr/>
      </xdr:nvGrpSpPr>
      <xdr:grpSpPr>
        <a:xfrm>
          <a:off x="0" y="0"/>
          <a:ext cx="9220962" cy="114300"/>
          <a:chOff x="190500" y="6334125"/>
          <a:chExt cx="8639175" cy="114300"/>
        </a:xfrm>
      </xdr:grpSpPr>
      <xdr:sp macro="" textlink="">
        <xdr:nvSpPr>
          <xdr:cNvPr id="3" name="フリーフォーム 10">
            <a:extLst>
              <a:ext uri="{FF2B5EF4-FFF2-40B4-BE49-F238E27FC236}">
                <a16:creationId xmlns:a16="http://schemas.microsoft.com/office/drawing/2014/main" id="{F011D044-2435-4A0F-96C8-1CC7A730023A}"/>
              </a:ext>
            </a:extLst>
          </xdr:cNvPr>
          <xdr:cNvSpPr>
            <a:spLocks noEditPoints="1"/>
          </xdr:cNvSpPr>
        </xdr:nvSpPr>
        <xdr:spPr bwMode="auto">
          <a:xfrm>
            <a:off x="619125" y="6334125"/>
            <a:ext cx="8210550" cy="114300"/>
          </a:xfrm>
          <a:custGeom>
            <a:avLst/>
            <a:gdLst>
              <a:gd name="T0" fmla="*/ 3366 w 3447"/>
              <a:gd name="T1" fmla="*/ 0 h 49"/>
              <a:gd name="T2" fmla="*/ 3447 w 3447"/>
              <a:gd name="T3" fmla="*/ 0 h 49"/>
              <a:gd name="T4" fmla="*/ 3447 w 3447"/>
              <a:gd name="T5" fmla="*/ 49 h 49"/>
              <a:gd name="T6" fmla="*/ 3322 w 3447"/>
              <a:gd name="T7" fmla="*/ 49 h 49"/>
              <a:gd name="T8" fmla="*/ 3366 w 3447"/>
              <a:gd name="T9" fmla="*/ 0 h 49"/>
              <a:gd name="T10" fmla="*/ 2892 w 3447"/>
              <a:gd name="T11" fmla="*/ 0 h 49"/>
              <a:gd name="T12" fmla="*/ 3061 w 3447"/>
              <a:gd name="T13" fmla="*/ 0 h 49"/>
              <a:gd name="T14" fmla="*/ 3019 w 3447"/>
              <a:gd name="T15" fmla="*/ 49 h 49"/>
              <a:gd name="T16" fmla="*/ 2848 w 3447"/>
              <a:gd name="T17" fmla="*/ 49 h 49"/>
              <a:gd name="T18" fmla="*/ 2892 w 3447"/>
              <a:gd name="T19" fmla="*/ 0 h 49"/>
              <a:gd name="T20" fmla="*/ 2417 w 3447"/>
              <a:gd name="T21" fmla="*/ 0 h 49"/>
              <a:gd name="T22" fmla="*/ 2587 w 3447"/>
              <a:gd name="T23" fmla="*/ 0 h 49"/>
              <a:gd name="T24" fmla="*/ 2543 w 3447"/>
              <a:gd name="T25" fmla="*/ 49 h 49"/>
              <a:gd name="T26" fmla="*/ 2374 w 3447"/>
              <a:gd name="T27" fmla="*/ 49 h 49"/>
              <a:gd name="T28" fmla="*/ 2417 w 3447"/>
              <a:gd name="T29" fmla="*/ 0 h 49"/>
              <a:gd name="T30" fmla="*/ 1942 w 3447"/>
              <a:gd name="T31" fmla="*/ 0 h 49"/>
              <a:gd name="T32" fmla="*/ 2113 w 3447"/>
              <a:gd name="T33" fmla="*/ 0 h 49"/>
              <a:gd name="T34" fmla="*/ 2069 w 3447"/>
              <a:gd name="T35" fmla="*/ 49 h 49"/>
              <a:gd name="T36" fmla="*/ 1898 w 3447"/>
              <a:gd name="T37" fmla="*/ 49 h 49"/>
              <a:gd name="T38" fmla="*/ 1942 w 3447"/>
              <a:gd name="T39" fmla="*/ 0 h 49"/>
              <a:gd name="T40" fmla="*/ 1468 w 3447"/>
              <a:gd name="T41" fmla="*/ 0 h 49"/>
              <a:gd name="T42" fmla="*/ 1637 w 3447"/>
              <a:gd name="T43" fmla="*/ 0 h 49"/>
              <a:gd name="T44" fmla="*/ 1594 w 3447"/>
              <a:gd name="T45" fmla="*/ 49 h 49"/>
              <a:gd name="T46" fmla="*/ 1424 w 3447"/>
              <a:gd name="T47" fmla="*/ 49 h 49"/>
              <a:gd name="T48" fmla="*/ 1468 w 3447"/>
              <a:gd name="T49" fmla="*/ 0 h 49"/>
              <a:gd name="T50" fmla="*/ 992 w 3447"/>
              <a:gd name="T51" fmla="*/ 0 h 49"/>
              <a:gd name="T52" fmla="*/ 1163 w 3447"/>
              <a:gd name="T53" fmla="*/ 0 h 49"/>
              <a:gd name="T54" fmla="*/ 1119 w 3447"/>
              <a:gd name="T55" fmla="*/ 49 h 49"/>
              <a:gd name="T56" fmla="*/ 949 w 3447"/>
              <a:gd name="T57" fmla="*/ 49 h 49"/>
              <a:gd name="T58" fmla="*/ 992 w 3447"/>
              <a:gd name="T59" fmla="*/ 0 h 49"/>
              <a:gd name="T60" fmla="*/ 518 w 3447"/>
              <a:gd name="T61" fmla="*/ 0 h 49"/>
              <a:gd name="T62" fmla="*/ 689 w 3447"/>
              <a:gd name="T63" fmla="*/ 0 h 49"/>
              <a:gd name="T64" fmla="*/ 645 w 3447"/>
              <a:gd name="T65" fmla="*/ 49 h 49"/>
              <a:gd name="T66" fmla="*/ 474 w 3447"/>
              <a:gd name="T67" fmla="*/ 49 h 49"/>
              <a:gd name="T68" fmla="*/ 518 w 3447"/>
              <a:gd name="T69" fmla="*/ 0 h 49"/>
              <a:gd name="T70" fmla="*/ 44 w 3447"/>
              <a:gd name="T71" fmla="*/ 0 h 49"/>
              <a:gd name="T72" fmla="*/ 213 w 3447"/>
              <a:gd name="T73" fmla="*/ 0 h 49"/>
              <a:gd name="T74" fmla="*/ 170 w 3447"/>
              <a:gd name="T75" fmla="*/ 49 h 49"/>
              <a:gd name="T76" fmla="*/ 0 w 3447"/>
              <a:gd name="T77" fmla="*/ 49 h 49"/>
              <a:gd name="T78" fmla="*/ 44 w 3447"/>
              <a:gd name="T79"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chemeClr val="accent2"/>
          </a:solidFill>
          <a:ln w="0">
            <a:noFill/>
            <a:prstDash val="solid"/>
            <a:round/>
            <a:headEnd/>
            <a:tailEnd/>
          </a:ln>
        </xdr:spPr>
      </xdr:sp>
      <xdr:sp macro="" textlink="">
        <xdr:nvSpPr>
          <xdr:cNvPr id="4" name="フリーフォーム 11">
            <a:extLst>
              <a:ext uri="{FF2B5EF4-FFF2-40B4-BE49-F238E27FC236}">
                <a16:creationId xmlns:a16="http://schemas.microsoft.com/office/drawing/2014/main" id="{52C37E90-FD9C-4446-B9B7-251CA73CA7DB}"/>
              </a:ext>
            </a:extLst>
          </xdr:cNvPr>
          <xdr:cNvSpPr>
            <a:spLocks noEditPoints="1"/>
          </xdr:cNvSpPr>
        </xdr:nvSpPr>
        <xdr:spPr bwMode="auto">
          <a:xfrm>
            <a:off x="190500" y="6334125"/>
            <a:ext cx="8286750" cy="114300"/>
          </a:xfrm>
          <a:custGeom>
            <a:avLst/>
            <a:gdLst>
              <a:gd name="T0" fmla="*/ 3311 w 3481"/>
              <a:gd name="T1" fmla="*/ 0 h 49"/>
              <a:gd name="T2" fmla="*/ 3481 w 3481"/>
              <a:gd name="T3" fmla="*/ 0 h 49"/>
              <a:gd name="T4" fmla="*/ 3437 w 3481"/>
              <a:gd name="T5" fmla="*/ 49 h 49"/>
              <a:gd name="T6" fmla="*/ 3268 w 3481"/>
              <a:gd name="T7" fmla="*/ 49 h 49"/>
              <a:gd name="T8" fmla="*/ 3311 w 3481"/>
              <a:gd name="T9" fmla="*/ 0 h 49"/>
              <a:gd name="T10" fmla="*/ 2836 w 3481"/>
              <a:gd name="T11" fmla="*/ 0 h 49"/>
              <a:gd name="T12" fmla="*/ 3006 w 3481"/>
              <a:gd name="T13" fmla="*/ 0 h 49"/>
              <a:gd name="T14" fmla="*/ 2963 w 3481"/>
              <a:gd name="T15" fmla="*/ 49 h 49"/>
              <a:gd name="T16" fmla="*/ 2792 w 3481"/>
              <a:gd name="T17" fmla="*/ 49 h 49"/>
              <a:gd name="T18" fmla="*/ 2836 w 3481"/>
              <a:gd name="T19" fmla="*/ 0 h 49"/>
              <a:gd name="T20" fmla="*/ 2362 w 3481"/>
              <a:gd name="T21" fmla="*/ 0 h 49"/>
              <a:gd name="T22" fmla="*/ 2531 w 3481"/>
              <a:gd name="T23" fmla="*/ 0 h 49"/>
              <a:gd name="T24" fmla="*/ 2488 w 3481"/>
              <a:gd name="T25" fmla="*/ 49 h 49"/>
              <a:gd name="T26" fmla="*/ 2318 w 3481"/>
              <a:gd name="T27" fmla="*/ 49 h 49"/>
              <a:gd name="T28" fmla="*/ 2362 w 3481"/>
              <a:gd name="T29" fmla="*/ 0 h 49"/>
              <a:gd name="T30" fmla="*/ 1886 w 3481"/>
              <a:gd name="T31" fmla="*/ 0 h 49"/>
              <a:gd name="T32" fmla="*/ 2057 w 3481"/>
              <a:gd name="T33" fmla="*/ 0 h 49"/>
              <a:gd name="T34" fmla="*/ 2013 w 3481"/>
              <a:gd name="T35" fmla="*/ 49 h 49"/>
              <a:gd name="T36" fmla="*/ 1844 w 3481"/>
              <a:gd name="T37" fmla="*/ 49 h 49"/>
              <a:gd name="T38" fmla="*/ 1886 w 3481"/>
              <a:gd name="T39" fmla="*/ 0 h 49"/>
              <a:gd name="T40" fmla="*/ 1412 w 3481"/>
              <a:gd name="T41" fmla="*/ 0 h 49"/>
              <a:gd name="T42" fmla="*/ 1583 w 3481"/>
              <a:gd name="T43" fmla="*/ 0 h 49"/>
              <a:gd name="T44" fmla="*/ 1539 w 3481"/>
              <a:gd name="T45" fmla="*/ 49 h 49"/>
              <a:gd name="T46" fmla="*/ 1368 w 3481"/>
              <a:gd name="T47" fmla="*/ 49 h 49"/>
              <a:gd name="T48" fmla="*/ 1412 w 3481"/>
              <a:gd name="T49" fmla="*/ 0 h 49"/>
              <a:gd name="T50" fmla="*/ 938 w 3481"/>
              <a:gd name="T51" fmla="*/ 0 h 49"/>
              <a:gd name="T52" fmla="*/ 1107 w 3481"/>
              <a:gd name="T53" fmla="*/ 0 h 49"/>
              <a:gd name="T54" fmla="*/ 1064 w 3481"/>
              <a:gd name="T55" fmla="*/ 49 h 49"/>
              <a:gd name="T56" fmla="*/ 894 w 3481"/>
              <a:gd name="T57" fmla="*/ 49 h 49"/>
              <a:gd name="T58" fmla="*/ 938 w 3481"/>
              <a:gd name="T59" fmla="*/ 0 h 49"/>
              <a:gd name="T60" fmla="*/ 462 w 3481"/>
              <a:gd name="T61" fmla="*/ 0 h 49"/>
              <a:gd name="T62" fmla="*/ 633 w 3481"/>
              <a:gd name="T63" fmla="*/ 0 h 49"/>
              <a:gd name="T64" fmla="*/ 589 w 3481"/>
              <a:gd name="T65" fmla="*/ 49 h 49"/>
              <a:gd name="T66" fmla="*/ 419 w 3481"/>
              <a:gd name="T67" fmla="*/ 49 h 49"/>
              <a:gd name="T68" fmla="*/ 462 w 3481"/>
              <a:gd name="T69" fmla="*/ 0 h 49"/>
              <a:gd name="T70" fmla="*/ 0 w 3481"/>
              <a:gd name="T71" fmla="*/ 0 h 49"/>
              <a:gd name="T72" fmla="*/ 158 w 3481"/>
              <a:gd name="T73" fmla="*/ 0 h 49"/>
              <a:gd name="T74" fmla="*/ 114 w 3481"/>
              <a:gd name="T75" fmla="*/ 49 h 49"/>
              <a:gd name="T76" fmla="*/ 0 w 3481"/>
              <a:gd name="T77" fmla="*/ 49 h 49"/>
              <a:gd name="T78" fmla="*/ 0 w 3481"/>
              <a:gd name="T79"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chemeClr val="accent1"/>
          </a:solidFill>
          <a:ln w="0">
            <a:noFill/>
            <a:prstDash val="solid"/>
            <a:round/>
            <a:headEnd/>
            <a:tailEnd/>
          </a:ln>
        </xdr:spPr>
      </xdr:sp>
      <xdr:sp macro="" textlink="">
        <xdr:nvSpPr>
          <xdr:cNvPr id="5" name="フリーフォーム 12">
            <a:extLst>
              <a:ext uri="{FF2B5EF4-FFF2-40B4-BE49-F238E27FC236}">
                <a16:creationId xmlns:a16="http://schemas.microsoft.com/office/drawing/2014/main" id="{F93A4524-1937-4805-8AA1-D1816C6DEC3E}"/>
              </a:ext>
            </a:extLst>
          </xdr:cNvPr>
          <xdr:cNvSpPr>
            <a:spLocks noEditPoints="1"/>
          </xdr:cNvSpPr>
        </xdr:nvSpPr>
        <xdr:spPr bwMode="auto">
          <a:xfrm>
            <a:off x="523875" y="6334125"/>
            <a:ext cx="8048625" cy="114300"/>
          </a:xfrm>
          <a:custGeom>
            <a:avLst/>
            <a:gdLst>
              <a:gd name="T0" fmla="*/ 3381 w 3381"/>
              <a:gd name="T1" fmla="*/ 0 h 49"/>
              <a:gd name="T2" fmla="*/ 3323 w 3381"/>
              <a:gd name="T3" fmla="*/ 49 h 49"/>
              <a:gd name="T4" fmla="*/ 3129 w 3381"/>
              <a:gd name="T5" fmla="*/ 0 h 49"/>
              <a:gd name="T6" fmla="*/ 3099 w 3381"/>
              <a:gd name="T7" fmla="*/ 49 h 49"/>
              <a:gd name="T8" fmla="*/ 3129 w 3381"/>
              <a:gd name="T9" fmla="*/ 0 h 49"/>
              <a:gd name="T10" fmla="*/ 2905 w 3381"/>
              <a:gd name="T11" fmla="*/ 0 h 49"/>
              <a:gd name="T12" fmla="*/ 2848 w 3381"/>
              <a:gd name="T13" fmla="*/ 49 h 49"/>
              <a:gd name="T14" fmla="*/ 2654 w 3381"/>
              <a:gd name="T15" fmla="*/ 0 h 49"/>
              <a:gd name="T16" fmla="*/ 2625 w 3381"/>
              <a:gd name="T17" fmla="*/ 49 h 49"/>
              <a:gd name="T18" fmla="*/ 2654 w 3381"/>
              <a:gd name="T19" fmla="*/ 0 h 49"/>
              <a:gd name="T20" fmla="*/ 2431 w 3381"/>
              <a:gd name="T21" fmla="*/ 0 h 49"/>
              <a:gd name="T22" fmla="*/ 2373 w 3381"/>
              <a:gd name="T23" fmla="*/ 49 h 49"/>
              <a:gd name="T24" fmla="*/ 2179 w 3381"/>
              <a:gd name="T25" fmla="*/ 0 h 49"/>
              <a:gd name="T26" fmla="*/ 2150 w 3381"/>
              <a:gd name="T27" fmla="*/ 49 h 49"/>
              <a:gd name="T28" fmla="*/ 2179 w 3381"/>
              <a:gd name="T29" fmla="*/ 0 h 49"/>
              <a:gd name="T30" fmla="*/ 1957 w 3381"/>
              <a:gd name="T31" fmla="*/ 0 h 49"/>
              <a:gd name="T32" fmla="*/ 1898 w 3381"/>
              <a:gd name="T33" fmla="*/ 49 h 49"/>
              <a:gd name="T34" fmla="*/ 1705 w 3381"/>
              <a:gd name="T35" fmla="*/ 0 h 49"/>
              <a:gd name="T36" fmla="*/ 1675 w 3381"/>
              <a:gd name="T37" fmla="*/ 49 h 49"/>
              <a:gd name="T38" fmla="*/ 1705 w 3381"/>
              <a:gd name="T39" fmla="*/ 0 h 49"/>
              <a:gd name="T40" fmla="*/ 1481 w 3381"/>
              <a:gd name="T41" fmla="*/ 0 h 49"/>
              <a:gd name="T42" fmla="*/ 1424 w 3381"/>
              <a:gd name="T43" fmla="*/ 49 h 49"/>
              <a:gd name="T44" fmla="*/ 1230 w 3381"/>
              <a:gd name="T45" fmla="*/ 0 h 49"/>
              <a:gd name="T46" fmla="*/ 1201 w 3381"/>
              <a:gd name="T47" fmla="*/ 49 h 49"/>
              <a:gd name="T48" fmla="*/ 1230 w 3381"/>
              <a:gd name="T49" fmla="*/ 0 h 49"/>
              <a:gd name="T50" fmla="*/ 1007 w 3381"/>
              <a:gd name="T51" fmla="*/ 0 h 49"/>
              <a:gd name="T52" fmla="*/ 950 w 3381"/>
              <a:gd name="T53" fmla="*/ 49 h 49"/>
              <a:gd name="T54" fmla="*/ 756 w 3381"/>
              <a:gd name="T55" fmla="*/ 0 h 49"/>
              <a:gd name="T56" fmla="*/ 726 w 3381"/>
              <a:gd name="T57" fmla="*/ 49 h 49"/>
              <a:gd name="T58" fmla="*/ 756 w 3381"/>
              <a:gd name="T59" fmla="*/ 0 h 49"/>
              <a:gd name="T60" fmla="*/ 532 w 3381"/>
              <a:gd name="T61" fmla="*/ 0 h 49"/>
              <a:gd name="T62" fmla="*/ 474 w 3381"/>
              <a:gd name="T63" fmla="*/ 49 h 49"/>
              <a:gd name="T64" fmla="*/ 280 w 3381"/>
              <a:gd name="T65" fmla="*/ 0 h 49"/>
              <a:gd name="T66" fmla="*/ 252 w 3381"/>
              <a:gd name="T67" fmla="*/ 49 h 49"/>
              <a:gd name="T68" fmla="*/ 280 w 3381"/>
              <a:gd name="T69" fmla="*/ 0 h 49"/>
              <a:gd name="T70" fmla="*/ 57 w 3381"/>
              <a:gd name="T71" fmla="*/ 0 h 49"/>
              <a:gd name="T72" fmla="*/ 0 w 3381"/>
              <a:gd name="T73" fmla="*/ 49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chemeClr val="accent3"/>
          </a:solidFill>
          <a:ln w="0">
            <a:noFill/>
            <a:prstDash val="solid"/>
            <a:round/>
            <a:headEnd/>
            <a:tailEnd/>
          </a:ln>
        </xdr:spPr>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贈り先" displayName="贈り先" ref="B5:F11" totalsRowCount="1">
  <autoFilter ref="B5:F10" xr:uid="{00000000-0009-0000-0100-000001000000}"/>
  <tableColumns count="5">
    <tableColumn id="1" xr3:uid="{00000000-0010-0000-0000-000001000000}" name="贈り先" totalsRowLabel="集計" totalsRowDxfId="7"/>
    <tableColumn id="2" xr3:uid="{00000000-0010-0000-0000-000002000000}" name="予定予算に対する割合" totalsRowFunction="custom" totalsRowDxfId="6" dataCellStyle="パーセント">
      <totalsRowFormula>SUM(贈り先[予定予算に対する割合])</totalsRowFormula>
    </tableColumn>
    <tableColumn id="6" xr3:uid="{00000000-0010-0000-0000-000006000000}" name="残り予算額" totalsRowFunction="custom" dataDxfId="4" totalsRowDxfId="5" dataCellStyle="通貨 [0.00]">
      <calculatedColumnFormula>IFERROR(IF(Adjust_Budget="はい",Allocated_Money_Remaining-SUMIFS(ギフト[コスト],ギフト[贈り先],贈り先[[#This Row],[贈り先]]),(TotalBudget*贈り先[[#This Row],[予定予算に対する割合]])-SUMIFS(ギフト[コスト],ギフト[贈り先],贈り先[[#This Row],[贈り先]])),"")</calculatedColumnFormula>
      <totalsRowFormula>IFERROR(SUM(贈り先[残り予算額]),"")</totalsRowFormula>
    </tableColumn>
    <tableColumn id="3" xr3:uid="{00000000-0010-0000-0000-000003000000}" name="予定ギフト個数" totalsRowFunction="custom" totalsRowDxfId="3">
      <totalsRowFormula>SUM(贈り先[予定ギフト個数])</totalsRowFormula>
    </tableColumn>
    <tableColumn id="5" xr3:uid="{00000000-0010-0000-0000-000005000000}" name="残りギフト数" totalsRowFunction="custom" totalsRowDxfId="2">
      <calculatedColumnFormula>IFERROR(贈り先[[#This Row],[予定ギフト個数]]-COUNTIFS(ギフト[贈り先],贈り先[[#This Row],[贈り先]]), "")</calculatedColumnFormula>
      <totalsRowFormula>SUM(贈り先[残りギフト数])</totalsRowFormula>
    </tableColumn>
  </tableColumns>
  <tableStyleInfo name="概要" showFirstColumn="1" showLastColumn="0" showRowStripes="1" showColumnStripes="1"/>
  <extLst>
    <ext xmlns:x14="http://schemas.microsoft.com/office/spreadsheetml/2009/9/main" uri="{504A1905-F514-4f6f-8877-14C23A59335A}">
      <x14:table altTextSummary="このテーブルには、ギフトの贈り先、予定予算割合、予定ギフト個数を入力します。残りの予算とギフト数が自動的に計算されます"/>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ギフト" displayName="ギフト" ref="B2:F9" totalsRowShown="0">
  <autoFilter ref="B2:F9" xr:uid="{00000000-0009-0000-0100-000004000000}"/>
  <tableColumns count="5">
    <tableColumn id="1" xr3:uid="{00000000-0010-0000-0100-000001000000}" name="贈り先"/>
    <tableColumn id="2" xr3:uid="{00000000-0010-0000-0100-000002000000}" name="ギフト"/>
    <tableColumn id="3" xr3:uid="{00000000-0010-0000-0100-000003000000}" name="コスト" dataDxfId="0" dataCellStyle="通貨カスタム"/>
    <tableColumn id="4" xr3:uid="{00000000-0010-0000-0100-000004000000}" name="購入済み" dataCellStyle="購入済み/ラッピング済み"/>
    <tableColumn id="5" xr3:uid="{00000000-0010-0000-0100-000005000000}" name="ラッピング済み" dataCellStyle="購入済み/ラッピング済み"/>
  </tableColumns>
  <tableStyleInfo name="休日ギフト リスト" showFirstColumn="0" showLastColumn="0" showRowStripes="1" showColumnStripes="0"/>
  <extLst>
    <ext xmlns:x14="http://schemas.microsoft.com/office/spreadsheetml/2009/9/main" uri="{504A1905-F514-4f6f-8877-14C23A59335A}">
      <x14:table altTextSummary="贈り先を選択し、ギフトとコストを入力し、ギフトを購入済みおよびラッピング済みとしてマークします。ギフトを購買してラッピングすると、テーブルの行は取り消し線の書式に更新されます。"/>
    </ext>
  </extLst>
</table>
</file>

<file path=xl/theme/theme1.xml><?xml version="1.0" encoding="utf-8"?>
<a:theme xmlns:a="http://schemas.openxmlformats.org/drawingml/2006/main"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a:ea typeface=""/>
        <a:cs typeface=""/>
      </a:majorFont>
      <a:minorFont>
        <a:latin typeface="Georg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F11"/>
  <sheetViews>
    <sheetView showGridLines="0" tabSelected="1" zoomScaleNormal="100" workbookViewId="0"/>
  </sheetViews>
  <sheetFormatPr defaultColWidth="8.88671875" defaultRowHeight="30" customHeight="1"/>
  <cols>
    <col min="1" max="1" width="2.77734375" customWidth="1"/>
    <col min="2" max="2" width="13.77734375" customWidth="1"/>
    <col min="3" max="3" width="42.77734375" customWidth="1"/>
    <col min="4" max="6" width="18.77734375" customWidth="1"/>
    <col min="7" max="7" width="2.77734375" customWidth="1"/>
  </cols>
  <sheetData>
    <row r="1" spans="1:6" ht="50.1" customHeight="1">
      <c r="B1" s="18" t="s">
        <v>0</v>
      </c>
      <c r="C1" s="19" t="s">
        <v>1</v>
      </c>
      <c r="D1" s="19"/>
      <c r="E1" s="4" t="s">
        <v>2</v>
      </c>
      <c r="F1" s="5">
        <v>500</v>
      </c>
    </row>
    <row r="2" spans="1:6" ht="21" customHeight="1">
      <c r="A2" s="3"/>
      <c r="B2" s="18"/>
      <c r="C2" s="19"/>
      <c r="D2" s="19"/>
      <c r="E2" s="4" t="s">
        <v>3</v>
      </c>
      <c r="F2" s="5">
        <f>IFERROR(SUMIFS(ギフト[コスト],ギフト[購入済み],"はい"),"")</f>
        <v>283</v>
      </c>
    </row>
    <row r="3" spans="1:6" ht="21" customHeight="1">
      <c r="A3" s="3"/>
      <c r="B3" s="18"/>
      <c r="C3" s="19"/>
      <c r="D3" s="19"/>
      <c r="E3" s="4" t="s">
        <v>4</v>
      </c>
      <c r="F3" s="5">
        <f>IFERROR(TotalBudget-F2,"")</f>
        <v>217</v>
      </c>
    </row>
    <row r="4" spans="1:6" ht="30" customHeight="1">
      <c r="B4" s="6" t="s">
        <v>5</v>
      </c>
      <c r="C4" s="6"/>
      <c r="D4" s="10" t="s">
        <v>6</v>
      </c>
    </row>
    <row r="5" spans="1:6" ht="30" customHeight="1">
      <c r="B5" s="11" t="s">
        <v>7</v>
      </c>
      <c r="C5" s="11" t="s">
        <v>8</v>
      </c>
      <c r="D5" s="11" t="s">
        <v>9</v>
      </c>
      <c r="E5" s="11" t="s">
        <v>10</v>
      </c>
      <c r="F5" s="11" t="s">
        <v>11</v>
      </c>
    </row>
    <row r="6" spans="1:6" ht="30" customHeight="1">
      <c r="B6" t="s">
        <v>12</v>
      </c>
      <c r="C6" s="1">
        <v>0.3</v>
      </c>
      <c r="D6" s="7">
        <f ca="1">IFERROR(IF(Adjust_Budget="はい",Allocated_Money_Remaining-SUMIFS(ギフト[コスト],ギフト[贈り先],贈り先[[#This Row],[贈り先]]),(TotalBudget*贈り先[[#This Row],[予定予算に対する割合]])-SUMIFS(ギフト[コスト],ギフト[贈り先],贈り先[[#This Row],[贈り先]])),"")</f>
        <v>45</v>
      </c>
      <c r="E6" s="8">
        <v>3</v>
      </c>
      <c r="F6" s="8">
        <f ca="1">IFERROR(贈り先[[#This Row],[予定ギフト個数]]-COUNTIFS(ギフト[贈り先],贈り先[[#This Row],[贈り先]]), "")</f>
        <v>1</v>
      </c>
    </row>
    <row r="7" spans="1:6" ht="30" customHeight="1">
      <c r="B7" t="s">
        <v>13</v>
      </c>
      <c r="C7" s="1">
        <v>0.3</v>
      </c>
      <c r="D7" s="7">
        <f ca="1">IFERROR(IF(Adjust_Budget="はい",Allocated_Money_Remaining-SUMIFS(ギフト[コスト],ギフト[贈り先],贈り先[[#This Row],[贈り先]]),(TotalBudget*贈り先[[#This Row],[予定予算に対する割合]])-SUMIFS(ギフト[コスト],ギフト[贈り先],贈り先[[#This Row],[贈り先]])),"")</f>
        <v>54</v>
      </c>
      <c r="E7" s="8">
        <v>3</v>
      </c>
      <c r="F7" s="8">
        <f ca="1">IFERROR(贈り先[[#This Row],[予定ギフト個数]]-COUNTIFS(ギフト[贈り先],贈り先[[#This Row],[贈り先]]), "")</f>
        <v>1</v>
      </c>
    </row>
    <row r="8" spans="1:6" ht="30" customHeight="1">
      <c r="B8" t="s">
        <v>14</v>
      </c>
      <c r="C8" s="1">
        <v>0.2</v>
      </c>
      <c r="D8" s="7">
        <f ca="1">IFERROR(IF(Adjust_Budget="はい",Allocated_Money_Remaining-SUMIFS(ギフト[コスト],ギフト[贈り先],贈り先[[#This Row],[贈り先]]),(TotalBudget*贈り先[[#This Row],[予定予算に対する割合]])-SUMIFS(ギフト[コスト],ギフト[贈り先],贈り先[[#This Row],[贈り先]])),"")</f>
        <v>11</v>
      </c>
      <c r="E8" s="8">
        <v>2</v>
      </c>
      <c r="F8" s="8">
        <f ca="1">IFERROR(贈り先[[#This Row],[予定ギフト個数]]-COUNTIFS(ギフト[贈り先],贈り先[[#This Row],[贈り先]]), "")</f>
        <v>1</v>
      </c>
    </row>
    <row r="9" spans="1:6" ht="30" customHeight="1">
      <c r="B9" t="s">
        <v>15</v>
      </c>
      <c r="C9" s="1">
        <v>0.1</v>
      </c>
      <c r="D9" s="7">
        <f ca="1">IFERROR(IF(Adjust_Budget="はい",Allocated_Money_Remaining-SUMIFS(ギフト[コスト],ギフト[贈り先],贈り先[[#This Row],[贈り先]]),(TotalBudget*贈り先[[#This Row],[予定予算に対する割合]])-SUMIFS(ギフト[コスト],ギフト[贈り先],贈り先[[#This Row],[贈り先]])),"")</f>
        <v>-1</v>
      </c>
      <c r="E9" s="8">
        <v>1</v>
      </c>
      <c r="F9" s="8">
        <f ca="1">IFERROR(贈り先[[#This Row],[予定ギフト個数]]-COUNTIFS(ギフト[贈り先],贈り先[[#This Row],[贈り先]]), "")</f>
        <v>0</v>
      </c>
    </row>
    <row r="10" spans="1:6" ht="30" customHeight="1">
      <c r="B10" t="s">
        <v>16</v>
      </c>
      <c r="C10" s="1">
        <v>0.1</v>
      </c>
      <c r="D10" s="7">
        <f ca="1">IFERROR(IF(Adjust_Budget="はい",Allocated_Money_Remaining-SUMIFS(ギフト[コスト],ギフト[贈り先],贈り先[[#This Row],[贈り先]]),(TotalBudget*贈り先[[#This Row],[予定予算に対する割合]])-SUMIFS(ギフト[コスト],ギフト[贈り先],贈り先[[#This Row],[贈り先]])),"")</f>
        <v>0</v>
      </c>
      <c r="E10" s="8">
        <v>1</v>
      </c>
      <c r="F10" s="8">
        <f ca="1">IFERROR(贈り先[[#This Row],[予定ギフト個数]]-COUNTIFS(ギフト[贈り先],贈り先[[#This Row],[贈り先]]), "")</f>
        <v>0</v>
      </c>
    </row>
    <row r="11" spans="1:6" ht="30" customHeight="1">
      <c r="B11" s="12" t="s">
        <v>17</v>
      </c>
      <c r="C11" s="13">
        <f ca="1">SUM(贈り先[予定予算に対する割合])</f>
        <v>1</v>
      </c>
      <c r="D11" s="14">
        <f ca="1">IFERROR(SUM(贈り先[残り予算額]),"")</f>
        <v>109</v>
      </c>
      <c r="E11" s="15">
        <f ca="1">SUM(贈り先[予定ギフト個数])</f>
        <v>10</v>
      </c>
      <c r="F11" s="15">
        <f ca="1">SUM(贈り先[残りギフト数])</f>
        <v>3</v>
      </c>
    </row>
  </sheetData>
  <mergeCells count="2">
    <mergeCell ref="B1:B3"/>
    <mergeCell ref="C1:D3"/>
  </mergeCells>
  <phoneticPr fontId="18"/>
  <conditionalFormatting sqref="C11">
    <cfRule type="expression" dxfId="9" priority="2">
      <formula>$C$11&gt;100%</formula>
    </cfRule>
  </conditionalFormatting>
  <conditionalFormatting sqref="D11">
    <cfRule type="expression" dxfId="8" priority="1">
      <formula>$D$11&lt;0</formula>
    </cfRule>
  </conditionalFormatting>
  <dataValidations count="15">
    <dataValidation allowBlank="1" showInputMessage="1" showErrorMessage="1" prompt="このブックで休日ギフト リストを作成します。このワークシートで支出と残りのギフト購入を管理し、ギフト リスト ワークシートで贈り先ごとのギフトを管理します" sqref="A1" xr:uid="{00000000-0002-0000-0000-000000000000}"/>
    <dataValidation allowBlank="1" showInputMessage="1" showErrorMessage="1" prompt="この見出しの下にあるこの列にギフトの贈り先の名前を入力します。特定のエントリを検索するには、見出しフィルターを使用します。このリストを使用して、ギフト リスト ワークシートの贈り先を選択します。" sqref="B5" xr:uid="{00000000-0002-0000-0000-000001000000}"/>
    <dataValidation allowBlank="1" showInputMessage="1" showErrorMessage="1" prompt="この見出しの下のこの列に予定予算割合を入力します。合計予定予算割合がこの列の最後に表示されます" sqref="C5" xr:uid="{00000000-0002-0000-0000-000002000000}"/>
    <dataValidation allowBlank="1" showInputMessage="1" showErrorMessage="1" prompt="ギフト リスト ワークシートのギフト コストに基づく贈り先ごとの残り予算の現在の合計が、この見出しの下にあるこの列で自動的に計算されます" sqref="D5" xr:uid="{00000000-0002-0000-0000-000003000000}"/>
    <dataValidation allowBlank="1" showInputMessage="1" showErrorMessage="1" prompt="この見出しの下にあるこの列の贈り先列に贈り先ごとの予定ギフト個数を入力します。" sqref="E5" xr:uid="{00000000-0002-0000-0000-000004000000}"/>
    <dataValidation allowBlank="1" showInputMessage="1" showErrorMessage="1" prompt="残りギフト個数はこの見出しの下にあるこの列で自動的に計算されます" sqref="F5" xr:uid="{00000000-0002-0000-0000-000005000000}"/>
    <dataValidation allowBlank="1" showInputMessage="1" showErrorMessage="1" prompt="右のセルに予算を入力します" sqref="E1" xr:uid="{00000000-0002-0000-0000-000006000000}"/>
    <dataValidation allowBlank="1" showInputMessage="1" showErrorMessage="1" prompt="このセルに予算を入力します" sqref="F1" xr:uid="{00000000-0002-0000-0000-000007000000}"/>
    <dataValidation allowBlank="1" showInputMessage="1" showErrorMessage="1" prompt="残額は右のセルで自動的に計算されます" sqref="E3" xr:uid="{00000000-0002-0000-0000-000008000000}"/>
    <dataValidation allowBlank="1" showInputMessage="1" showErrorMessage="1" prompt="使った金額は右のセルで自動的に計算されます" sqref="E2" xr:uid="{00000000-0002-0000-0000-000009000000}"/>
    <dataValidation allowBlank="1" showInputMessage="1" showErrorMessage="1" prompt="使った金額はこのセルで自動的に計算されます" sqref="F2" xr:uid="{00000000-0002-0000-0000-00000A000000}"/>
    <dataValidation allowBlank="1" showInputMessage="1" showErrorMessage="1" prompt="残額はこのセルで自動的に計算されます" sqref="F3" xr:uid="{00000000-0002-0000-0000-00000B000000}"/>
    <dataValidation allowBlank="1" showInputMessage="1" showErrorMessage="1" prompt="このワークシートのタイトルは、このセルとセル C1 に表示されます。セル F1 に総予算を入力します。使った金額と残額は、セル F2 と F3 で自動的に計算されます" sqref="B1:B3" xr:uid="{00000000-0002-0000-0000-00000C000000}"/>
    <dataValidation type="list" errorStyle="warning" allowBlank="1" showInputMessage="1" showErrorMessage="1" error="リストから [はい] か [いいえ] を選択します。[キャンセル] を選択して、Alt キーを押しながら下方向キーを押し、オプションを表示します。下方向キーで移動し、Enter キーを押して選択します" prompt="[はい] を選択すると、計画予算の割合が 100% を超えたときにギフト予算が自動調整されます。[いいえ] を選択すると、総予算を超える可能性があります" sqref="D4" xr:uid="{00000000-0002-0000-0000-00000D000000}">
      <formula1>"はい,いいえ"</formula1>
    </dataValidation>
    <dataValidation allowBlank="1" showInputMessage="1" showErrorMessage="1" prompt="右側のセルで [はい] を選択すると、計画予算の割合が 100% を超えた場合に贈り先ごとのギフト予算が自動的に調整されます。[いいえ] を選択すると、贈り先ごとの予算の合計が総予算を超えることが許可されます" sqref="B4:C4" xr:uid="{00000000-0002-0000-0000-00000E000000}"/>
  </dataValidations>
  <printOptions horizontalCentered="1"/>
  <pageMargins left="0.25" right="0.25" top="0.65" bottom="0.4" header="0" footer="0"/>
  <pageSetup paperSize="9" fitToHeight="0" orientation="portrait" r:id="rId1"/>
  <headerFooter differentFirst="1">
    <oddFooter>Page &amp;P of &amp;N</oddFooter>
  </headerFooter>
  <ignoredErrors>
    <ignoredError sqref="F6"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autoPageBreaks="0" fitToPage="1"/>
  </sheetPr>
  <dimension ref="B1:F9"/>
  <sheetViews>
    <sheetView showGridLines="0" zoomScaleNormal="100" workbookViewId="0"/>
  </sheetViews>
  <sheetFormatPr defaultColWidth="8.88671875" defaultRowHeight="30" customHeight="1"/>
  <cols>
    <col min="1" max="1" width="2.77734375" customWidth="1"/>
    <col min="2" max="2" width="13.77734375" customWidth="1"/>
    <col min="3" max="3" width="42.77734375" customWidth="1"/>
    <col min="4" max="6" width="18.77734375" customWidth="1"/>
    <col min="7" max="7" width="2.77734375" customWidth="1"/>
  </cols>
  <sheetData>
    <row r="1" spans="2:6" ht="90.95" customHeight="1">
      <c r="B1" s="16" t="s">
        <v>0</v>
      </c>
      <c r="C1" s="17" t="s">
        <v>18</v>
      </c>
    </row>
    <row r="2" spans="2:6" ht="30" customHeight="1">
      <c r="B2" s="6" t="s">
        <v>7</v>
      </c>
      <c r="C2" s="6" t="s">
        <v>19</v>
      </c>
      <c r="D2" s="6" t="s">
        <v>20</v>
      </c>
      <c r="E2" s="6" t="s">
        <v>21</v>
      </c>
      <c r="F2" s="6" t="s">
        <v>22</v>
      </c>
    </row>
    <row r="3" spans="2:6" ht="30" customHeight="1">
      <c r="B3" t="s">
        <v>13</v>
      </c>
      <c r="C3" t="s">
        <v>23</v>
      </c>
      <c r="D3" s="9">
        <v>36</v>
      </c>
      <c r="E3" s="2" t="s">
        <v>6</v>
      </c>
      <c r="F3" s="2" t="s">
        <v>6</v>
      </c>
    </row>
    <row r="4" spans="2:6" ht="30" customHeight="1">
      <c r="B4" t="s">
        <v>14</v>
      </c>
      <c r="C4" t="s">
        <v>24</v>
      </c>
      <c r="D4" s="9">
        <v>89</v>
      </c>
      <c r="E4" s="2" t="s">
        <v>6</v>
      </c>
      <c r="F4" s="2"/>
    </row>
    <row r="5" spans="2:6" ht="30" customHeight="1">
      <c r="B5" t="s">
        <v>15</v>
      </c>
      <c r="C5" t="s">
        <v>25</v>
      </c>
      <c r="D5" s="9">
        <v>51</v>
      </c>
      <c r="E5" s="2" t="s">
        <v>6</v>
      </c>
      <c r="F5" s="2" t="s">
        <v>6</v>
      </c>
    </row>
    <row r="6" spans="2:6" ht="30" customHeight="1">
      <c r="B6" t="s">
        <v>12</v>
      </c>
      <c r="C6" t="s">
        <v>26</v>
      </c>
      <c r="D6" s="9">
        <v>48</v>
      </c>
      <c r="E6" s="2"/>
      <c r="F6" s="2"/>
    </row>
    <row r="7" spans="2:6" ht="30" customHeight="1">
      <c r="B7" t="s">
        <v>12</v>
      </c>
      <c r="C7" t="s">
        <v>27</v>
      </c>
      <c r="D7" s="9">
        <v>57</v>
      </c>
      <c r="E7" s="2" t="s">
        <v>6</v>
      </c>
      <c r="F7" s="2"/>
    </row>
    <row r="8" spans="2:6" ht="30" customHeight="1">
      <c r="B8" t="s">
        <v>16</v>
      </c>
      <c r="C8" t="s">
        <v>28</v>
      </c>
      <c r="D8" s="9">
        <v>50</v>
      </c>
      <c r="E8" s="2" t="s">
        <v>6</v>
      </c>
      <c r="F8" s="2" t="s">
        <v>6</v>
      </c>
    </row>
    <row r="9" spans="2:6" ht="30" customHeight="1">
      <c r="B9" t="s">
        <v>13</v>
      </c>
      <c r="C9" t="s">
        <v>29</v>
      </c>
      <c r="D9" s="9">
        <v>60</v>
      </c>
      <c r="E9" s="2"/>
      <c r="F9" s="2"/>
    </row>
  </sheetData>
  <phoneticPr fontId="18"/>
  <conditionalFormatting sqref="B3:F9">
    <cfRule type="expression" dxfId="1" priority="2">
      <formula>($E3="はい")*($F3="はい")</formula>
    </cfRule>
  </conditionalFormatting>
  <dataValidations count="10">
    <dataValidation allowBlank="1" showInputMessage="1" showErrorMessage="1" prompt="このワークシートでギフト リストを作成します。ギフト テーブルに詳細を入力します。ギフトが購買済みでラッピング済みとしてマークされると、テーブルの行は取り消し線の書式に自動的に更新されます" sqref="A1" xr:uid="{00000000-0002-0000-0100-000000000000}"/>
    <dataValidation allowBlank="1" showInputMessage="1" showErrorMessage="1" prompt="この見出しの下にあるこの列で贈り先を選択します。Alt キーを押しながら下矢印キーを押し、オプションを表示します。下矢印キーで移動し、Enter キーを押して選択します。見出しのフィルターを使用して、特定のエントリを検索します" sqref="B2" xr:uid="{00000000-0002-0000-0100-000001000000}"/>
    <dataValidation allowBlank="1" showInputMessage="1" showErrorMessage="1" prompt="この見出しの下にあるこの列に、ギフトを入力します" sqref="C2" xr:uid="{00000000-0002-0000-0100-000002000000}"/>
    <dataValidation allowBlank="1" showInputMessage="1" showErrorMessage="1" prompt="この見出しの下にあるこの列にコストを入力します" sqref="D2" xr:uid="{00000000-0002-0000-0100-000003000000}"/>
    <dataValidation allowBlank="1" showInputMessage="1" showErrorMessage="1" prompt="ギフトを購入したら、この見出しの下にあるこの列でリストから [はい] を選択します。Alt キーを押しながら下方向キーを押してオプションに移動し、Enter キーを押して選択します" sqref="E2" xr:uid="{00000000-0002-0000-0100-000004000000}"/>
    <dataValidation allowBlank="1" showInputMessage="1" showErrorMessage="1" prompt="ギフトをラッピングしたら、この見出しの下にあるこの列でリストから [はい] を選択します。Alt キーを押しながら下方向キーを押してオプションに移動し、Enter キーを押して選択します" sqref="F2" xr:uid="{00000000-0002-0000-0100-000005000000}"/>
    <dataValidation allowBlank="1" showInputMessage="1" showErrorMessage="1" prompt="このワークシートのタイトルは、このセルとセル C1 に表示されます。" sqref="B1" xr:uid="{00000000-0002-0000-0100-000006000000}"/>
    <dataValidation type="list" errorStyle="warning" allowBlank="1" showInputMessage="1" showErrorMessage="1" error="ギフトをラッピングしたら、リストから [はい] を選択します。[キャンセル] を選択し、Alt キーを押しながら下方向キーを押してオプションに移動し、Enter キーを押して選択します" sqref="F3:F9" xr:uid="{00000000-0002-0000-0100-000007000000}">
      <formula1>"はい"</formula1>
    </dataValidation>
    <dataValidation type="list" errorStyle="warning" allowBlank="1" showInputMessage="1" showErrorMessage="1" error="ギフトを購入したら、リストから [はい] を選択します。[キャンセル] を選択し、Alt キーを押しながら下方向キーを押してオプションに移動し、Enter キーを押して選択します" sqref="E3:E9" xr:uid="{00000000-0002-0000-0100-000008000000}">
      <formula1>"はい"</formula1>
    </dataValidation>
    <dataValidation type="list" errorStyle="warning" allowBlank="1" showInputMessage="1" showErrorMessage="1" error="リストから贈り先を選択します。[キャンセル] を選択し、Alt キーを押しながら下方向キーを押し、オプションを表示します。下方向キーで移動し、Enter キーを押して選択します" sqref="B3:B9" xr:uid="{00000000-0002-0000-0100-000009000000}">
      <formula1>RecipientNames</formula1>
    </dataValidation>
  </dataValidations>
  <printOptions horizontalCentered="1"/>
  <pageMargins left="0.25" right="0.25" top="0.65" bottom="0.4" header="0" footer="0"/>
  <pageSetup paperSize="9" fitToHeight="0" orientation="portrait"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2026-05-04T00:32:49Z</dcterms:created>
  <dcterms:modified xsi:type="dcterms:W3CDTF">2026-05-04T00:32:59Z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